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-diperi\Desktop\fo-ico-documents\"/>
    </mc:Choice>
  </mc:AlternateContent>
  <xr:revisionPtr revIDLastSave="0" documentId="8_{D236A236-9AF8-4D0C-8780-07B5BE5C8614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Suivi des accords" sheetId="1" r:id="rId1"/>
    <sheet name="Synthese" sheetId="2" r:id="rId2"/>
  </sheets>
  <definedNames>
    <definedName name="_xlnm._FilterDatabase" localSheetId="0" hidden="1">'Suivi des accords'!$A$1:$I$35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0" i="2" l="1"/>
  <c r="B9" i="2"/>
  <c r="B8" i="2"/>
  <c r="B7" i="2"/>
  <c r="B6" i="2"/>
  <c r="B5" i="2"/>
  <c r="B4" i="2"/>
  <c r="B3" i="2"/>
</calcChain>
</file>

<file path=xl/sharedStrings.xml><?xml version="1.0" encoding="utf-8"?>
<sst xmlns="http://schemas.openxmlformats.org/spreadsheetml/2006/main" count="273" uniqueCount="219">
  <si>
    <t>Thème</t>
  </si>
  <si>
    <t>Catégorie</t>
  </si>
  <si>
    <t>Date de signature</t>
  </si>
  <si>
    <t>PDF signé</t>
  </si>
  <si>
    <t>Word d'origine</t>
  </si>
  <si>
    <t>Résumé</t>
  </si>
  <si>
    <t>Dépliant</t>
  </si>
  <si>
    <t>Nb dépliants</t>
  </si>
  <si>
    <t>Remarques</t>
  </si>
  <si>
    <t>Télétravail</t>
  </si>
  <si>
    <t>Accord local</t>
  </si>
  <si>
    <t>27/04/2021</t>
  </si>
  <si>
    <t>Accord Télétravail_signé.pdf</t>
  </si>
  <si>
    <t>Accord Télétravail_vdéfinitive.docx</t>
  </si>
  <si>
    <t>resume-teletravail-2021.md</t>
  </si>
  <si>
    <t>Depliant_teletravail_FO.pdf</t>
  </si>
  <si>
    <t>Durée et ATT — cadres</t>
  </si>
  <si>
    <t>12/05/2021 + avenant 31/12/2025</t>
  </si>
  <si>
    <t>Avenant à laccord ATT cadres - Incidences absences sur congés payés.pdf</t>
  </si>
  <si>
    <t>Accord Durée et ATT Cadres_vDéfinitive.docx</t>
  </si>
  <si>
    <t>resume-att-cadres-2021.md</t>
  </si>
  <si>
    <t>Depliant_ATT_cadres_forfait_jours_FO.pdf · Depliant_ATT_cadres_en_heures_FO.pdf</t>
  </si>
  <si>
    <t>Dépliant scindé : forfait jours / temps décompté en heures</t>
  </si>
  <si>
    <t>Durée et ATT — non-cadres</t>
  </si>
  <si>
    <t>14/09/2020 + avenants 2022 et 2025</t>
  </si>
  <si>
    <t>Accord ATT Non Cadre + PV_Signé.pdf</t>
  </si>
  <si>
    <t>Accord Durée et ATT Non Cadre_VDéfinitive.docx</t>
  </si>
  <si>
    <t>resume-att-non-cadres-2020.md</t>
  </si>
  <si>
    <t>Depliant_ATT_non_cadres_1_horaires_FO.pdf · Depliant_ATT_non_cadres_2_annualisation_FO.pdf · Depliant_ATT_non_cadres_3_conges_FO.pdf · Depliant_ATT_non_cadres_4_travail_de_nuit_FO.pdf</t>
  </si>
  <si>
    <t>Accord le plus long : 4 dépliants</t>
  </si>
  <si>
    <t>Compteur intermédiaire</t>
  </si>
  <si>
    <t>23/03/2024 (non postés) et 21/06/2024 (postés)</t>
  </si>
  <si>
    <t>Accord compteur intermédiaire salarié posté_signé.pdf</t>
  </si>
  <si>
    <t>Accord compteur intermédiaire non postés version finale.docx</t>
  </si>
  <si>
    <t>resume-compteur-intermediaire.md</t>
  </si>
  <si>
    <t>Depliant_compteur_intermediaire_FO.pdf</t>
  </si>
  <si>
    <t>Deux accords réunis dans un seul dépliant</t>
  </si>
  <si>
    <t>Travail de nuit — stages de jour</t>
  </si>
  <si>
    <t>19/05/2026</t>
  </si>
  <si>
    <t>Accord travail de nuit - 2026.pdf</t>
  </si>
  <si>
    <t>manquant</t>
  </si>
  <si>
    <t>resume-travail-nuit-2026.md</t>
  </si>
  <si>
    <t>Depliant_stages_de_jour_personnel_nuit_FO.pdf</t>
  </si>
  <si>
    <t>Congé humanitaire</t>
  </si>
  <si>
    <t>31/03/2026</t>
  </si>
  <si>
    <t>Accord Congé Humanitaire (2026).pdf</t>
  </si>
  <si>
    <t>Accord sur le congé humanitaire V2.docx</t>
  </si>
  <si>
    <t>resume-conge-humanitaire-2026.md</t>
  </si>
  <si>
    <t>Depliant_conge_humanitaire_FO.pdf</t>
  </si>
  <si>
    <t>CDD à objet défini</t>
  </si>
  <si>
    <t>13/08/2021</t>
  </si>
  <si>
    <t>Accord CDD à objet défini_Signé.pdf</t>
  </si>
  <si>
    <t>Accord CDD à objet défini_vDéfinitive.docx</t>
  </si>
  <si>
    <t>resume-cdd-objet-defini-2021.md</t>
  </si>
  <si>
    <t>Depliant_CDD_objet_defini_FO.pdf</t>
  </si>
  <si>
    <t>Compte épargne temps (CET)</t>
  </si>
  <si>
    <t>19/03/2021 + avenant 31/01/2022</t>
  </si>
  <si>
    <t>Accord CET_vDéfinitive.pdf</t>
  </si>
  <si>
    <t>Accord CET_Avenant n°1_vDéfinitive.docx</t>
  </si>
  <si>
    <t>resume-cet-avenant-2022.md</t>
  </si>
  <si>
    <t>Depliant_CET_FO.pdf</t>
  </si>
  <si>
    <t>PERCOL</t>
  </si>
  <si>
    <t>19/03/2021</t>
  </si>
  <si>
    <t>Accord PERCOL_Signé.pdf</t>
  </si>
  <si>
    <t>Accord PERCOL_vDéfinitive.docx</t>
  </si>
  <si>
    <t>resume-percol-2021.md</t>
  </si>
  <si>
    <t>Depliant_PERCOL_FO.pdf</t>
  </si>
  <si>
    <t>Intéressement 2026-2028</t>
  </si>
  <si>
    <t>29/05/2026</t>
  </si>
  <si>
    <t>Accord d'entreprise relatif à l'intéressement (2026).pdf</t>
  </si>
  <si>
    <t>Accord  intéressement 2026 _ Version 4 (22.05.2026).docx</t>
  </si>
  <si>
    <t>resume-interessement-2026.md</t>
  </si>
  <si>
    <t>Depliant_interessement_FO.pdf</t>
  </si>
  <si>
    <t>BIC — bonification individuelle</t>
  </si>
  <si>
    <t>11/03/2025</t>
  </si>
  <si>
    <t>Accord relatif à la répartition de la BIC_Version signée.pdf</t>
  </si>
  <si>
    <t>Accord sur la répartition de la BIC V2025-2.docx</t>
  </si>
  <si>
    <t>resume-bic-2025.md</t>
  </si>
  <si>
    <t>Depliant_BIC_FO.pdf</t>
  </si>
  <si>
    <t>PVA — part variable (praticiens)</t>
  </si>
  <si>
    <t>19/05/2022</t>
  </si>
  <si>
    <t>Accord PVA_2022_Signé.pdf</t>
  </si>
  <si>
    <t>Accord PVA_vFinale.docx</t>
  </si>
  <si>
    <t>resume-pva-2022.md</t>
  </si>
  <si>
    <t>Depliant_PVA_FO.pdf</t>
  </si>
  <si>
    <t>VAP — validation des acquis</t>
  </si>
  <si>
    <t>22/03/2024 + avenant 04/02/2025</t>
  </si>
  <si>
    <t>Accord sur la validation des acquis professionnels _Version signée.pdf</t>
  </si>
  <si>
    <t>Accord sur la validation des acquis professionnels V2025-2.docx</t>
  </si>
  <si>
    <t>resume-vap-2025.md</t>
  </si>
  <si>
    <t>Depliant_VAP_FO.pdf</t>
  </si>
  <si>
    <t>Égalité femmes-hommes</t>
  </si>
  <si>
    <t>Accord égalité FH 2026.pdf</t>
  </si>
  <si>
    <t>Accord Egalité F H_V2026 05 20.docx</t>
  </si>
  <si>
    <t>resume-egalite-fh-2026.md</t>
  </si>
  <si>
    <t>Depliant_egalite_femmes_hommes_FO.pdf</t>
  </si>
  <si>
    <t>Forfait mobilité durable</t>
  </si>
  <si>
    <t>24/10/2025</t>
  </si>
  <si>
    <t>ACCORD FORFAIT MOBILITE DURABLE_Version signée.pdf</t>
  </si>
  <si>
    <t>Accord Forfait Mobilité Durable Vfinale.docx</t>
  </si>
  <si>
    <t>resume-forfait-mobilite-durable-2025.md</t>
  </si>
  <si>
    <t>Depliant_forfait_mobilite_durable_FO.pdf</t>
  </si>
  <si>
    <t>PDF au dépôt = version 2024 ; PDF 2025 manquant</t>
  </si>
  <si>
    <t>Prime USC</t>
  </si>
  <si>
    <t>01/12/2023</t>
  </si>
  <si>
    <t>AVENANT ACCORD PRIME USC_Version signée.pdf</t>
  </si>
  <si>
    <t>resume-prime-usc-2023.md</t>
  </si>
  <si>
    <t>Depliant_prime_USC_FO.pdf</t>
  </si>
  <si>
    <t>Avenant signé 26/04/2024, Word non reçu</t>
  </si>
  <si>
    <t>Prime chaussures</t>
  </si>
  <si>
    <t>21/06/2023</t>
  </si>
  <si>
    <t>Accord prime chaussure version signée.pdf</t>
  </si>
  <si>
    <t>Accord Prime Chaussures V finale.docx</t>
  </si>
  <si>
    <t>resume-prime-chaussures-2023.md</t>
  </si>
  <si>
    <t>Depliant_prime_chaussures_FO.pdf</t>
  </si>
  <si>
    <t>Parcours assistantes médicales</t>
  </si>
  <si>
    <t>Accord relatif au parcours des assistantes médicales_Version signée.pdf</t>
  </si>
  <si>
    <t>DUE_Prime de Pool de remplacement _ Assistantes Médicales Vfinale.docx</t>
  </si>
  <si>
    <t>resume-parcours-am-2025.md</t>
  </si>
  <si>
    <t>Depliant_parcours_assistant_medical_FO.pdf</t>
  </si>
  <si>
    <t>Parcours IDE et MER</t>
  </si>
  <si>
    <t>28/03/2025</t>
  </si>
  <si>
    <t>Accord parcours IDE et MER_Version signée.pdf</t>
  </si>
  <si>
    <t>Accord parcours IDE et MER V 2025 03 13 - VF.docx</t>
  </si>
  <si>
    <t>resume-parcours-ide-mer-2025.md</t>
  </si>
  <si>
    <t>Depliant_parcours_IDE_MER_FO.pdf</t>
  </si>
  <si>
    <t>Parcours physiciens médicaux</t>
  </si>
  <si>
    <t>Accord Parcours Phycisiens_2022_Signé.pdf</t>
  </si>
  <si>
    <t>Accord Physiciens médicaux 2022_vFinale.docx</t>
  </si>
  <si>
    <t>resume-parcours-physiciens-2022.md</t>
  </si>
  <si>
    <t>Depliant_parcours_physiciens_medicaux_FO.pdf</t>
  </si>
  <si>
    <t>Reprise d'ancienneté MER-AS-IDE</t>
  </si>
  <si>
    <t>Accord Reprise Expérience professionnelle MER-AS-IDE_2022_Signé.pdf</t>
  </si>
  <si>
    <t>Accord reprise ancienneté MER IDE AS_vFinale.docx</t>
  </si>
  <si>
    <t>resume-reprise-anciennete-mer-as-ide-2022.md</t>
  </si>
  <si>
    <t>Depliant_reprise_anciennete_MER_IDE_AS_FO.pdf</t>
  </si>
  <si>
    <t>Chèques syndicaux</t>
  </si>
  <si>
    <t>03/10/2022</t>
  </si>
  <si>
    <t>Accord-Chèques syndicaux_v signée.pdf</t>
  </si>
  <si>
    <t>Accord chèques syndicaux_v2022-09-22.docx</t>
  </si>
  <si>
    <t>resume-cheques-syndicaux-2022.md</t>
  </si>
  <si>
    <t>Depliant_cheques_syndicaux_FO.pdf</t>
  </si>
  <si>
    <t>Résumé et dépliant créés le 20/09/2026</t>
  </si>
  <si>
    <t>Temps partiel de fin de carrière</t>
  </si>
  <si>
    <t>Avenants 30/06/2021 et 15/09/2023</t>
  </si>
  <si>
    <t>Accord d'entreprise intergenerationnel_signé.pdf</t>
  </si>
  <si>
    <t>Accord Intergénérationnel_Avenant n°1_vDéfinitive.docx</t>
  </si>
  <si>
    <t>resume-temps-partiel-fin-de-carriere.md</t>
  </si>
  <si>
    <t>Depliant_temps_partiel_fin_de_carriere_FO.pdf</t>
  </si>
  <si>
    <t>Ne couvre que l'art. 3.4.2 : accord de base 2020 en PDF scanné, Word manquant</t>
  </si>
  <si>
    <t>DUE : parcours macroscopie</t>
  </si>
  <si>
    <t>DUE</t>
  </si>
  <si>
    <t>08/12/2023</t>
  </si>
  <si>
    <t>DUE Parcours techs de laboratoire-macroscopie_Version signée.pdf</t>
  </si>
  <si>
    <t>DUE Tech de labo d'anapath.docx</t>
  </si>
  <si>
    <t>resume-due-parcours-macroscopie.md</t>
  </si>
  <si>
    <t>Depliant_DUE_parcours_macroscopie_FO.pdf</t>
  </si>
  <si>
    <t>DUE : prime de retour inopiné</t>
  </si>
  <si>
    <t>29/04/2024</t>
  </si>
  <si>
    <t>DUE_Prime de retour inopiné.pdf</t>
  </si>
  <si>
    <t>DUE_Prime de retour inopiné 01.05.2024 _ MER IDE AS.docx</t>
  </si>
  <si>
    <t>resume-prime-retour-inopine.md</t>
  </si>
  <si>
    <t>Depliant_DUE_prime_retour_inopine_FO.pdf</t>
  </si>
  <si>
    <t>DUE : prime pool remplacement (AM)</t>
  </si>
  <si>
    <t>22/04/2024</t>
  </si>
  <si>
    <t>resume-due-prime-pool-remplacement-am.md</t>
  </si>
  <si>
    <t>Depliant_DUE_prime_pool_remplacement_FO.pdf</t>
  </si>
  <si>
    <t>PDF signé manquant ; dépliant commun avec la DUE soignants</t>
  </si>
  <si>
    <t>DUE : prime pool remplacement (soignants)</t>
  </si>
  <si>
    <t>DUE_Prime de Pool de remplacement _ soignants Version Définitive.docx</t>
  </si>
  <si>
    <t>resume-due-prime-pool-remplacement-soignants.md</t>
  </si>
  <si>
    <t>PDF signé manquant ; dépliant commun avec la DUE AM, compté sur la ligne précédente</t>
  </si>
  <si>
    <t>DUE : complémentaire frais de santé</t>
  </si>
  <si>
    <t>19/06/2024</t>
  </si>
  <si>
    <t>DUE CFS_v2024 05 27.docx</t>
  </si>
  <si>
    <t>resume-due-complementaire-frais-sante.md</t>
  </si>
  <si>
    <t>Depliant_DUE_complementaire_frais_sante_FO.pdf</t>
  </si>
  <si>
    <t>PDF signé manquant</t>
  </si>
  <si>
    <t>Accord de méthode NAO 2026</t>
  </si>
  <si>
    <t>NAO</t>
  </si>
  <si>
    <t>2026</t>
  </si>
  <si>
    <t>Accord de méthode NAO au titre de 2026.pdf</t>
  </si>
  <si>
    <t>Accord de méthode NAO 2026.docx</t>
  </si>
  <si>
    <t>resume-methode-nao-2026.md</t>
  </si>
  <si>
    <t>—</t>
  </si>
  <si>
    <t>Sans dépliant — choix de David</t>
  </si>
  <si>
    <t>Vote électronique 2026</t>
  </si>
  <si>
    <t>Élections</t>
  </si>
  <si>
    <t>ACCORD VOTE ELECTRONIQUE _ Elections professionnelles 2026.pdf</t>
  </si>
  <si>
    <t>Accord Vote électronique_v2026 04 09.docx</t>
  </si>
  <si>
    <t>resume-vote-electronique-2026.md</t>
  </si>
  <si>
    <t>Dialogue social 2026</t>
  </si>
  <si>
    <t>Accord dialogue social 2026.pdf</t>
  </si>
  <si>
    <t>Accord sur le dialogue social 2023 _Version finale.docx</t>
  </si>
  <si>
    <t>resume-dialogue-social-2026.md</t>
  </si>
  <si>
    <t>Accord intergénérationnel (base)</t>
  </si>
  <si>
    <t>30/01/2020</t>
  </si>
  <si>
    <t>PDF scanné sans couche texte, Word manquant : non résumé (hors art. 3.4.2)</t>
  </si>
  <si>
    <t>CCN des CLCC</t>
  </si>
  <si>
    <t>Convention</t>
  </si>
  <si>
    <t>Consolidée au 01/02/2026</t>
  </si>
  <si>
    <t>CCN des CLCC - 1er février 2026.pdf</t>
  </si>
  <si>
    <t>sans objet</t>
  </si>
  <si>
    <t>Texte intégral converti : ccn-clcc.md + grilles-remuneration.md</t>
  </si>
  <si>
    <t>Code de la santé publique — CLCC</t>
  </si>
  <si>
    <t>Texte légal</t>
  </si>
  <si>
    <t>Sans date de consolidation</t>
  </si>
  <si>
    <t>Code de la santé publique CLCC.pdf</t>
  </si>
  <si>
    <t>Converti le 20/09/2026 : code-sante-publique-clcc.md (art. L6162-1 à L6162-13)</t>
  </si>
  <si>
    <t>Synthèse au 20 septembre 2026</t>
  </si>
  <si>
    <t>Documents suivis</t>
  </si>
  <si>
    <t>PDF signés présents</t>
  </si>
  <si>
    <t>PDF signés manquants</t>
  </si>
  <si>
    <t>Word d'origine manquants</t>
  </si>
  <si>
    <t>Résumés rédigés</t>
  </si>
  <si>
    <t>Documents sans résumé</t>
  </si>
  <si>
    <t>Dépliants produits</t>
  </si>
  <si>
    <t>Documents sans dépliant</t>
  </si>
  <si>
    <t>Note : « Documents sans dépliant » comprend les 3 exclusions volontaires (NAO, vote électronique, dialogue social) et les textes de référence (CCN, Code de la santé publique, accord intergénérationnel de base).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</si>
</sst>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b/>
      <sz val="9"/>
      <color rgb="FF9C0B10"/>
      <name val="Arial"/>
      <charset val="1"/>
    </font>
    <font>
      <i/>
      <sz val="9"/>
      <color rgb="FF8A93A3"/>
      <name val="Arial"/>
      <charset val="1"/>
    </font>
    <font>
      <b/>
      <sz val="12"/>
      <color rgb="FF14203A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i/>
      <sz val="9"/>
      <color rgb="FF5B6578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4203A"/>
        <bgColor rgb="FF003366"/>
      </patternFill>
    </fill>
    <fill>
      <patternFill patternType="solid">
        <fgColor rgb="FFF4F6F9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DE2EA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8" fillId="0" borderId="0" xfId="0" applyFont="1" applyAlignment="1">
      <alignment wrapText="1"/>
    </xf>
    <xf numFmtId="0" fontId="1" fillId="2" borderId="0" xfId="0" applyFont="1" applyFill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B1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6F9"/>
      <rgbColor rgb="FFCCFFFF"/>
      <rgbColor rgb="FF660066"/>
      <rgbColor rgb="FFFF8080"/>
      <rgbColor rgb="FF0066CC"/>
      <rgbColor rgb="FFDDE2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578"/>
      <rgbColor rgb="FF8A93A3"/>
      <rgbColor rgb="FF003366"/>
      <rgbColor rgb="FF339966"/>
      <rgbColor rgb="FF003300"/>
      <rgbColor rgb="FF333300"/>
      <rgbColor rgb="FF993300"/>
      <rgbColor rgb="FF993366"/>
      <rgbColor rgb="FF333399"/>
      <rgbColor rgb="FF1420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"/>
  <sheetViews>
    <sheetView tabSelected="1"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34" customWidth="1"/>
    <col min="2" max="2" width="14" customWidth="1"/>
    <col min="3" max="3" width="27" customWidth="1"/>
    <col min="4" max="5" width="40" customWidth="1"/>
    <col min="6" max="6" width="34" customWidth="1"/>
    <col min="7" max="7" width="40" customWidth="1"/>
    <col min="8" max="8" width="11" customWidth="1"/>
    <col min="9" max="9" width="42" customWidth="1"/>
  </cols>
  <sheetData>
    <row r="1" spans="1:9" ht="30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35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>
        <v>1</v>
      </c>
      <c r="I2" s="3"/>
    </row>
    <row r="3" spans="1:9" ht="23" x14ac:dyDescent="0.35">
      <c r="A3" s="4" t="s">
        <v>16</v>
      </c>
      <c r="B3" s="4" t="s">
        <v>10</v>
      </c>
      <c r="C3" s="4" t="s">
        <v>17</v>
      </c>
      <c r="D3" s="4" t="s">
        <v>18</v>
      </c>
      <c r="E3" s="4" t="s">
        <v>19</v>
      </c>
      <c r="F3" s="4" t="s">
        <v>20</v>
      </c>
      <c r="G3" s="4" t="s">
        <v>21</v>
      </c>
      <c r="H3" s="4">
        <v>2</v>
      </c>
      <c r="I3" s="4" t="s">
        <v>22</v>
      </c>
    </row>
    <row r="4" spans="1:9" ht="57.5" x14ac:dyDescent="0.35">
      <c r="A4" s="3" t="s">
        <v>23</v>
      </c>
      <c r="B4" s="3" t="s">
        <v>10</v>
      </c>
      <c r="C4" s="3" t="s">
        <v>24</v>
      </c>
      <c r="D4" s="3" t="s">
        <v>25</v>
      </c>
      <c r="E4" s="3" t="s">
        <v>26</v>
      </c>
      <c r="F4" s="3" t="s">
        <v>27</v>
      </c>
      <c r="G4" s="3" t="s">
        <v>28</v>
      </c>
      <c r="H4" s="3">
        <v>4</v>
      </c>
      <c r="I4" s="3" t="s">
        <v>29</v>
      </c>
    </row>
    <row r="5" spans="1:9" ht="23" x14ac:dyDescent="0.35">
      <c r="A5" s="4" t="s">
        <v>30</v>
      </c>
      <c r="B5" s="4" t="s">
        <v>10</v>
      </c>
      <c r="C5" s="4" t="s">
        <v>31</v>
      </c>
      <c r="D5" s="4" t="s">
        <v>32</v>
      </c>
      <c r="E5" s="4" t="s">
        <v>33</v>
      </c>
      <c r="F5" s="4" t="s">
        <v>34</v>
      </c>
      <c r="G5" s="4" t="s">
        <v>35</v>
      </c>
      <c r="H5" s="4">
        <v>1</v>
      </c>
      <c r="I5" s="4" t="s">
        <v>36</v>
      </c>
    </row>
    <row r="6" spans="1:9" x14ac:dyDescent="0.35">
      <c r="A6" s="3" t="s">
        <v>37</v>
      </c>
      <c r="B6" s="3" t="s">
        <v>10</v>
      </c>
      <c r="C6" s="3" t="s">
        <v>38</v>
      </c>
      <c r="D6" s="3" t="s">
        <v>39</v>
      </c>
      <c r="E6" s="5" t="s">
        <v>40</v>
      </c>
      <c r="F6" s="3" t="s">
        <v>41</v>
      </c>
      <c r="G6" s="3" t="s">
        <v>42</v>
      </c>
      <c r="H6" s="3">
        <v>1</v>
      </c>
      <c r="I6" s="3"/>
    </row>
    <row r="7" spans="1:9" x14ac:dyDescent="0.35">
      <c r="A7" s="4" t="s">
        <v>43</v>
      </c>
      <c r="B7" s="4" t="s">
        <v>10</v>
      </c>
      <c r="C7" s="4" t="s">
        <v>44</v>
      </c>
      <c r="D7" s="4" t="s">
        <v>45</v>
      </c>
      <c r="E7" s="4" t="s">
        <v>46</v>
      </c>
      <c r="F7" s="4" t="s">
        <v>47</v>
      </c>
      <c r="G7" s="4" t="s">
        <v>48</v>
      </c>
      <c r="H7" s="4">
        <v>1</v>
      </c>
      <c r="I7" s="4"/>
    </row>
    <row r="8" spans="1:9" x14ac:dyDescent="0.35">
      <c r="A8" s="3" t="s">
        <v>49</v>
      </c>
      <c r="B8" s="3" t="s">
        <v>10</v>
      </c>
      <c r="C8" s="3" t="s">
        <v>50</v>
      </c>
      <c r="D8" s="3" t="s">
        <v>51</v>
      </c>
      <c r="E8" s="3" t="s">
        <v>52</v>
      </c>
      <c r="F8" s="3" t="s">
        <v>53</v>
      </c>
      <c r="G8" s="3" t="s">
        <v>54</v>
      </c>
      <c r="H8" s="3">
        <v>1</v>
      </c>
      <c r="I8" s="3"/>
    </row>
    <row r="9" spans="1:9" x14ac:dyDescent="0.35">
      <c r="A9" s="4" t="s">
        <v>55</v>
      </c>
      <c r="B9" s="4" t="s">
        <v>10</v>
      </c>
      <c r="C9" s="4" t="s">
        <v>56</v>
      </c>
      <c r="D9" s="4" t="s">
        <v>57</v>
      </c>
      <c r="E9" s="4" t="s">
        <v>58</v>
      </c>
      <c r="F9" s="4" t="s">
        <v>59</v>
      </c>
      <c r="G9" s="4" t="s">
        <v>60</v>
      </c>
      <c r="H9" s="4">
        <v>1</v>
      </c>
      <c r="I9" s="4"/>
    </row>
    <row r="10" spans="1:9" x14ac:dyDescent="0.35">
      <c r="A10" s="3" t="s">
        <v>61</v>
      </c>
      <c r="B10" s="3" t="s">
        <v>10</v>
      </c>
      <c r="C10" s="3" t="s">
        <v>62</v>
      </c>
      <c r="D10" s="3" t="s">
        <v>63</v>
      </c>
      <c r="E10" s="3" t="s">
        <v>64</v>
      </c>
      <c r="F10" s="3" t="s">
        <v>65</v>
      </c>
      <c r="G10" s="3" t="s">
        <v>66</v>
      </c>
      <c r="H10" s="3">
        <v>1</v>
      </c>
      <c r="I10" s="3"/>
    </row>
    <row r="11" spans="1:9" ht="23" x14ac:dyDescent="0.35">
      <c r="A11" s="4" t="s">
        <v>67</v>
      </c>
      <c r="B11" s="4" t="s">
        <v>10</v>
      </c>
      <c r="C11" s="4" t="s">
        <v>68</v>
      </c>
      <c r="D11" s="4" t="s">
        <v>69</v>
      </c>
      <c r="E11" s="4" t="s">
        <v>70</v>
      </c>
      <c r="F11" s="4" t="s">
        <v>71</v>
      </c>
      <c r="G11" s="4" t="s">
        <v>72</v>
      </c>
      <c r="H11" s="4">
        <v>1</v>
      </c>
      <c r="I11" s="4"/>
    </row>
    <row r="12" spans="1:9" ht="23" x14ac:dyDescent="0.35">
      <c r="A12" s="3" t="s">
        <v>73</v>
      </c>
      <c r="B12" s="3" t="s">
        <v>10</v>
      </c>
      <c r="C12" s="3" t="s">
        <v>74</v>
      </c>
      <c r="D12" s="3" t="s">
        <v>75</v>
      </c>
      <c r="E12" s="3" t="s">
        <v>76</v>
      </c>
      <c r="F12" s="3" t="s">
        <v>77</v>
      </c>
      <c r="G12" s="3" t="s">
        <v>78</v>
      </c>
      <c r="H12" s="3">
        <v>1</v>
      </c>
      <c r="I12" s="3"/>
    </row>
    <row r="13" spans="1:9" x14ac:dyDescent="0.35">
      <c r="A13" s="4" t="s">
        <v>79</v>
      </c>
      <c r="B13" s="4" t="s">
        <v>10</v>
      </c>
      <c r="C13" s="4" t="s">
        <v>80</v>
      </c>
      <c r="D13" s="4" t="s">
        <v>81</v>
      </c>
      <c r="E13" s="4" t="s">
        <v>82</v>
      </c>
      <c r="F13" s="4" t="s">
        <v>83</v>
      </c>
      <c r="G13" s="4" t="s">
        <v>84</v>
      </c>
      <c r="H13" s="4">
        <v>1</v>
      </c>
      <c r="I13" s="4"/>
    </row>
    <row r="14" spans="1:9" ht="23" x14ac:dyDescent="0.35">
      <c r="A14" s="3" t="s">
        <v>85</v>
      </c>
      <c r="B14" s="3" t="s">
        <v>10</v>
      </c>
      <c r="C14" s="3" t="s">
        <v>86</v>
      </c>
      <c r="D14" s="3" t="s">
        <v>87</v>
      </c>
      <c r="E14" s="3" t="s">
        <v>88</v>
      </c>
      <c r="F14" s="3" t="s">
        <v>89</v>
      </c>
      <c r="G14" s="3" t="s">
        <v>90</v>
      </c>
      <c r="H14" s="3">
        <v>1</v>
      </c>
      <c r="I14" s="3"/>
    </row>
    <row r="15" spans="1:9" x14ac:dyDescent="0.35">
      <c r="A15" s="4" t="s">
        <v>91</v>
      </c>
      <c r="B15" s="4" t="s">
        <v>10</v>
      </c>
      <c r="C15" s="4" t="s">
        <v>68</v>
      </c>
      <c r="D15" s="4" t="s">
        <v>92</v>
      </c>
      <c r="E15" s="4" t="s">
        <v>93</v>
      </c>
      <c r="F15" s="4" t="s">
        <v>94</v>
      </c>
      <c r="G15" s="4" t="s">
        <v>95</v>
      </c>
      <c r="H15" s="4">
        <v>1</v>
      </c>
      <c r="I15" s="4"/>
    </row>
    <row r="16" spans="1:9" ht="23" x14ac:dyDescent="0.35">
      <c r="A16" s="3" t="s">
        <v>96</v>
      </c>
      <c r="B16" s="3" t="s">
        <v>10</v>
      </c>
      <c r="C16" s="3" t="s">
        <v>97</v>
      </c>
      <c r="D16" s="3" t="s">
        <v>98</v>
      </c>
      <c r="E16" s="3" t="s">
        <v>99</v>
      </c>
      <c r="F16" s="3" t="s">
        <v>100</v>
      </c>
      <c r="G16" s="3" t="s">
        <v>101</v>
      </c>
      <c r="H16" s="3">
        <v>1</v>
      </c>
      <c r="I16" s="3" t="s">
        <v>102</v>
      </c>
    </row>
    <row r="17" spans="1:9" ht="23" x14ac:dyDescent="0.35">
      <c r="A17" s="4" t="s">
        <v>103</v>
      </c>
      <c r="B17" s="4" t="s">
        <v>10</v>
      </c>
      <c r="C17" s="4" t="s">
        <v>104</v>
      </c>
      <c r="D17" s="4" t="s">
        <v>105</v>
      </c>
      <c r="E17" s="6" t="s">
        <v>40</v>
      </c>
      <c r="F17" s="4" t="s">
        <v>106</v>
      </c>
      <c r="G17" s="4" t="s">
        <v>107</v>
      </c>
      <c r="H17" s="4">
        <v>1</v>
      </c>
      <c r="I17" s="4" t="s">
        <v>108</v>
      </c>
    </row>
    <row r="18" spans="1:9" x14ac:dyDescent="0.35">
      <c r="A18" s="3" t="s">
        <v>109</v>
      </c>
      <c r="B18" s="3" t="s">
        <v>10</v>
      </c>
      <c r="C18" s="3" t="s">
        <v>110</v>
      </c>
      <c r="D18" s="3" t="s">
        <v>111</v>
      </c>
      <c r="E18" s="3" t="s">
        <v>112</v>
      </c>
      <c r="F18" s="3" t="s">
        <v>113</v>
      </c>
      <c r="G18" s="3" t="s">
        <v>114</v>
      </c>
      <c r="H18" s="3">
        <v>1</v>
      </c>
      <c r="I18" s="3"/>
    </row>
    <row r="19" spans="1:9" ht="23" x14ac:dyDescent="0.35">
      <c r="A19" s="4" t="s">
        <v>115</v>
      </c>
      <c r="B19" s="4" t="s">
        <v>10</v>
      </c>
      <c r="C19" s="4" t="s">
        <v>74</v>
      </c>
      <c r="D19" s="4" t="s">
        <v>116</v>
      </c>
      <c r="E19" s="4" t="s">
        <v>117</v>
      </c>
      <c r="F19" s="4" t="s">
        <v>118</v>
      </c>
      <c r="G19" s="4" t="s">
        <v>119</v>
      </c>
      <c r="H19" s="4">
        <v>1</v>
      </c>
      <c r="I19" s="4"/>
    </row>
    <row r="20" spans="1:9" x14ac:dyDescent="0.35">
      <c r="A20" s="3" t="s">
        <v>120</v>
      </c>
      <c r="B20" s="3" t="s">
        <v>10</v>
      </c>
      <c r="C20" s="3" t="s">
        <v>121</v>
      </c>
      <c r="D20" s="3" t="s">
        <v>122</v>
      </c>
      <c r="E20" s="3" t="s">
        <v>123</v>
      </c>
      <c r="F20" s="3" t="s">
        <v>124</v>
      </c>
      <c r="G20" s="3" t="s">
        <v>125</v>
      </c>
      <c r="H20" s="3">
        <v>1</v>
      </c>
      <c r="I20" s="3"/>
    </row>
    <row r="21" spans="1:9" x14ac:dyDescent="0.35">
      <c r="A21" s="4" t="s">
        <v>126</v>
      </c>
      <c r="B21" s="4" t="s">
        <v>10</v>
      </c>
      <c r="C21" s="4" t="s">
        <v>80</v>
      </c>
      <c r="D21" s="4" t="s">
        <v>127</v>
      </c>
      <c r="E21" s="4" t="s">
        <v>128</v>
      </c>
      <c r="F21" s="4" t="s">
        <v>129</v>
      </c>
      <c r="G21" s="4" t="s">
        <v>130</v>
      </c>
      <c r="H21" s="4">
        <v>1</v>
      </c>
      <c r="I21" s="4"/>
    </row>
    <row r="22" spans="1:9" ht="23" x14ac:dyDescent="0.35">
      <c r="A22" s="3" t="s">
        <v>131</v>
      </c>
      <c r="B22" s="3" t="s">
        <v>10</v>
      </c>
      <c r="C22" s="3" t="s">
        <v>80</v>
      </c>
      <c r="D22" s="3" t="s">
        <v>132</v>
      </c>
      <c r="E22" s="3" t="s">
        <v>133</v>
      </c>
      <c r="F22" s="3" t="s">
        <v>134</v>
      </c>
      <c r="G22" s="3" t="s">
        <v>135</v>
      </c>
      <c r="H22" s="3">
        <v>1</v>
      </c>
      <c r="I22" s="3"/>
    </row>
    <row r="23" spans="1:9" x14ac:dyDescent="0.35">
      <c r="A23" s="4" t="s">
        <v>136</v>
      </c>
      <c r="B23" s="4" t="s">
        <v>10</v>
      </c>
      <c r="C23" s="4" t="s">
        <v>137</v>
      </c>
      <c r="D23" s="4" t="s">
        <v>138</v>
      </c>
      <c r="E23" s="4" t="s">
        <v>139</v>
      </c>
      <c r="F23" s="4" t="s">
        <v>140</v>
      </c>
      <c r="G23" s="4" t="s">
        <v>141</v>
      </c>
      <c r="H23" s="4">
        <v>1</v>
      </c>
      <c r="I23" s="4" t="s">
        <v>142</v>
      </c>
    </row>
    <row r="24" spans="1:9" ht="23" x14ac:dyDescent="0.35">
      <c r="A24" s="3" t="s">
        <v>143</v>
      </c>
      <c r="B24" s="3" t="s">
        <v>10</v>
      </c>
      <c r="C24" s="3" t="s">
        <v>144</v>
      </c>
      <c r="D24" s="3" t="s">
        <v>145</v>
      </c>
      <c r="E24" s="3" t="s">
        <v>146</v>
      </c>
      <c r="F24" s="3" t="s">
        <v>147</v>
      </c>
      <c r="G24" s="3" t="s">
        <v>148</v>
      </c>
      <c r="H24" s="3">
        <v>1</v>
      </c>
      <c r="I24" s="3" t="s">
        <v>149</v>
      </c>
    </row>
    <row r="25" spans="1:9" ht="23" x14ac:dyDescent="0.35">
      <c r="A25" s="4" t="s">
        <v>150</v>
      </c>
      <c r="B25" s="4" t="s">
        <v>151</v>
      </c>
      <c r="C25" s="4" t="s">
        <v>152</v>
      </c>
      <c r="D25" s="4" t="s">
        <v>153</v>
      </c>
      <c r="E25" s="4" t="s">
        <v>154</v>
      </c>
      <c r="F25" s="4" t="s">
        <v>155</v>
      </c>
      <c r="G25" s="4" t="s">
        <v>156</v>
      </c>
      <c r="H25" s="4">
        <v>1</v>
      </c>
      <c r="I25" s="4"/>
    </row>
    <row r="26" spans="1:9" ht="23" x14ac:dyDescent="0.35">
      <c r="A26" s="3" t="s">
        <v>157</v>
      </c>
      <c r="B26" s="3" t="s">
        <v>151</v>
      </c>
      <c r="C26" s="3" t="s">
        <v>158</v>
      </c>
      <c r="D26" s="3" t="s">
        <v>159</v>
      </c>
      <c r="E26" s="3" t="s">
        <v>160</v>
      </c>
      <c r="F26" s="3" t="s">
        <v>161</v>
      </c>
      <c r="G26" s="3" t="s">
        <v>162</v>
      </c>
      <c r="H26" s="3">
        <v>1</v>
      </c>
      <c r="I26" s="3"/>
    </row>
    <row r="27" spans="1:9" ht="23" x14ac:dyDescent="0.35">
      <c r="A27" s="4" t="s">
        <v>163</v>
      </c>
      <c r="B27" s="4" t="s">
        <v>151</v>
      </c>
      <c r="C27" s="4" t="s">
        <v>164</v>
      </c>
      <c r="D27" s="6" t="s">
        <v>40</v>
      </c>
      <c r="E27" s="4" t="s">
        <v>117</v>
      </c>
      <c r="F27" s="4" t="s">
        <v>165</v>
      </c>
      <c r="G27" s="4" t="s">
        <v>166</v>
      </c>
      <c r="H27" s="4">
        <v>1</v>
      </c>
      <c r="I27" s="4" t="s">
        <v>167</v>
      </c>
    </row>
    <row r="28" spans="1:9" ht="23" x14ac:dyDescent="0.35">
      <c r="A28" s="3" t="s">
        <v>168</v>
      </c>
      <c r="B28" s="3" t="s">
        <v>151</v>
      </c>
      <c r="C28" s="3" t="s">
        <v>164</v>
      </c>
      <c r="D28" s="5" t="s">
        <v>40</v>
      </c>
      <c r="E28" s="3" t="s">
        <v>169</v>
      </c>
      <c r="F28" s="3" t="s">
        <v>170</v>
      </c>
      <c r="G28" s="3" t="s">
        <v>166</v>
      </c>
      <c r="H28" s="3">
        <v>0</v>
      </c>
      <c r="I28" s="3" t="s">
        <v>171</v>
      </c>
    </row>
    <row r="29" spans="1:9" x14ac:dyDescent="0.35">
      <c r="A29" s="4" t="s">
        <v>172</v>
      </c>
      <c r="B29" s="4" t="s">
        <v>151</v>
      </c>
      <c r="C29" s="4" t="s">
        <v>173</v>
      </c>
      <c r="D29" s="6" t="s">
        <v>40</v>
      </c>
      <c r="E29" s="4" t="s">
        <v>174</v>
      </c>
      <c r="F29" s="4" t="s">
        <v>175</v>
      </c>
      <c r="G29" s="4" t="s">
        <v>176</v>
      </c>
      <c r="H29" s="4">
        <v>1</v>
      </c>
      <c r="I29" s="4" t="s">
        <v>177</v>
      </c>
    </row>
    <row r="30" spans="1:9" x14ac:dyDescent="0.35">
      <c r="A30" s="3" t="s">
        <v>178</v>
      </c>
      <c r="B30" s="3" t="s">
        <v>179</v>
      </c>
      <c r="C30" s="3" t="s">
        <v>180</v>
      </c>
      <c r="D30" s="3" t="s">
        <v>181</v>
      </c>
      <c r="E30" s="3" t="s">
        <v>182</v>
      </c>
      <c r="F30" s="3" t="s">
        <v>183</v>
      </c>
      <c r="G30" s="7" t="s">
        <v>184</v>
      </c>
      <c r="H30" s="3">
        <v>0</v>
      </c>
      <c r="I30" s="3" t="s">
        <v>185</v>
      </c>
    </row>
    <row r="31" spans="1:9" ht="23" x14ac:dyDescent="0.35">
      <c r="A31" s="4" t="s">
        <v>186</v>
      </c>
      <c r="B31" s="4" t="s">
        <v>187</v>
      </c>
      <c r="C31" s="4" t="s">
        <v>180</v>
      </c>
      <c r="D31" s="4" t="s">
        <v>188</v>
      </c>
      <c r="E31" s="4" t="s">
        <v>189</v>
      </c>
      <c r="F31" s="4" t="s">
        <v>190</v>
      </c>
      <c r="G31" s="8" t="s">
        <v>184</v>
      </c>
      <c r="H31" s="4">
        <v>0</v>
      </c>
      <c r="I31" s="4" t="s">
        <v>185</v>
      </c>
    </row>
    <row r="32" spans="1:9" ht="23" x14ac:dyDescent="0.35">
      <c r="A32" s="3" t="s">
        <v>191</v>
      </c>
      <c r="B32" s="3" t="s">
        <v>187</v>
      </c>
      <c r="C32" s="3" t="s">
        <v>180</v>
      </c>
      <c r="D32" s="3" t="s">
        <v>192</v>
      </c>
      <c r="E32" s="3" t="s">
        <v>193</v>
      </c>
      <c r="F32" s="3" t="s">
        <v>194</v>
      </c>
      <c r="G32" s="7" t="s">
        <v>184</v>
      </c>
      <c r="H32" s="3">
        <v>0</v>
      </c>
      <c r="I32" s="3" t="s">
        <v>185</v>
      </c>
    </row>
    <row r="33" spans="1:9" ht="23" x14ac:dyDescent="0.35">
      <c r="A33" s="4" t="s">
        <v>195</v>
      </c>
      <c r="B33" s="4" t="s">
        <v>10</v>
      </c>
      <c r="C33" s="4" t="s">
        <v>196</v>
      </c>
      <c r="D33" s="4" t="s">
        <v>145</v>
      </c>
      <c r="E33" s="6" t="s">
        <v>40</v>
      </c>
      <c r="F33" s="6" t="s">
        <v>40</v>
      </c>
      <c r="G33" s="8" t="s">
        <v>184</v>
      </c>
      <c r="H33" s="4">
        <v>0</v>
      </c>
      <c r="I33" s="4" t="s">
        <v>197</v>
      </c>
    </row>
    <row r="34" spans="1:9" ht="23" x14ac:dyDescent="0.35">
      <c r="A34" s="3" t="s">
        <v>198</v>
      </c>
      <c r="B34" s="3" t="s">
        <v>199</v>
      </c>
      <c r="C34" s="3" t="s">
        <v>200</v>
      </c>
      <c r="D34" s="3" t="s">
        <v>201</v>
      </c>
      <c r="E34" s="3" t="s">
        <v>202</v>
      </c>
      <c r="F34" s="3" t="s">
        <v>202</v>
      </c>
      <c r="G34" s="7" t="s">
        <v>184</v>
      </c>
      <c r="H34" s="3">
        <v>0</v>
      </c>
      <c r="I34" s="3" t="s">
        <v>203</v>
      </c>
    </row>
    <row r="35" spans="1:9" ht="23" x14ac:dyDescent="0.35">
      <c r="A35" s="4" t="s">
        <v>204</v>
      </c>
      <c r="B35" s="4" t="s">
        <v>205</v>
      </c>
      <c r="C35" s="4" t="s">
        <v>206</v>
      </c>
      <c r="D35" s="4" t="s">
        <v>207</v>
      </c>
      <c r="E35" s="4" t="s">
        <v>202</v>
      </c>
      <c r="F35" s="4" t="s">
        <v>202</v>
      </c>
      <c r="G35" s="8" t="s">
        <v>184</v>
      </c>
      <c r="H35" s="4">
        <v>0</v>
      </c>
      <c r="I35" s="4" t="s">
        <v>208</v>
      </c>
    </row>
  </sheetData>
  <autoFilter ref="A1:I35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"/>
  <sheetViews>
    <sheetView zoomScaleNormal="100" workbookViewId="0"/>
  </sheetViews>
  <sheetFormatPr baseColWidth="10" defaultColWidth="8.6328125" defaultRowHeight="14.5" x14ac:dyDescent="0.35"/>
  <cols>
    <col min="1" max="1" width="34" customWidth="1"/>
    <col min="2" max="2" width="12" customWidth="1"/>
  </cols>
  <sheetData>
    <row r="1" spans="1:4" ht="15.5" x14ac:dyDescent="0.35">
      <c r="A1" s="9" t="s">
        <v>209</v>
      </c>
    </row>
    <row r="3" spans="1:4" x14ac:dyDescent="0.35">
      <c r="A3" s="10" t="s">
        <v>210</v>
      </c>
      <c r="B3" s="11">
        <f>COUNTA('Suivi des accords'!A2:A35)</f>
        <v>34</v>
      </c>
    </row>
    <row r="4" spans="1:4" x14ac:dyDescent="0.35">
      <c r="A4" s="10" t="s">
        <v>211</v>
      </c>
      <c r="B4" s="11">
        <f>COUNTIF('Suivi des accords'!D2:D35,"&lt;&gt;manquant")</f>
        <v>31</v>
      </c>
    </row>
    <row r="5" spans="1:4" x14ac:dyDescent="0.35">
      <c r="A5" s="10" t="s">
        <v>212</v>
      </c>
      <c r="B5" s="11">
        <f>COUNTIF('Suivi des accords'!D2:D35,"manquant")</f>
        <v>3</v>
      </c>
    </row>
    <row r="6" spans="1:4" x14ac:dyDescent="0.35">
      <c r="A6" s="10" t="s">
        <v>213</v>
      </c>
      <c r="B6" s="11">
        <f>COUNTIF('Suivi des accords'!E2:E35,"manquant")</f>
        <v>3</v>
      </c>
    </row>
    <row r="7" spans="1:4" x14ac:dyDescent="0.35">
      <c r="A7" s="10" t="s">
        <v>214</v>
      </c>
      <c r="B7" s="11">
        <f>COUNTIF('Suivi des accords'!F2:F35,"resume-*")</f>
        <v>31</v>
      </c>
    </row>
    <row r="8" spans="1:4" x14ac:dyDescent="0.35">
      <c r="A8" s="10" t="s">
        <v>215</v>
      </c>
      <c r="B8" s="11">
        <f>COUNTIF('Suivi des accords'!F2:F35,"manquant")</f>
        <v>1</v>
      </c>
    </row>
    <row r="9" spans="1:4" x14ac:dyDescent="0.35">
      <c r="A9" s="10" t="s">
        <v>216</v>
      </c>
      <c r="B9" s="11">
        <f>SUM('Suivi des accords'!H2:H35)</f>
        <v>31</v>
      </c>
    </row>
    <row r="10" spans="1:4" x14ac:dyDescent="0.35">
      <c r="A10" s="10" t="s">
        <v>217</v>
      </c>
      <c r="B10" s="11">
        <f>COUNTIF('Suivi des accords'!G2:G35,"—")</f>
        <v>6</v>
      </c>
    </row>
    <row r="12" spans="1:4" ht="15" customHeight="1" x14ac:dyDescent="0.35">
      <c r="A12" s="1" t="s">
        <v>218</v>
      </c>
      <c r="B12" s="1"/>
      <c r="C12" s="1"/>
      <c r="D12" s="1"/>
    </row>
    <row r="13" spans="1:4" x14ac:dyDescent="0.35">
      <c r="A13" s="1"/>
      <c r="B13" s="1"/>
      <c r="C13" s="1"/>
      <c r="D13" s="1"/>
    </row>
    <row r="14" spans="1:4" x14ac:dyDescent="0.35">
      <c r="A14" s="1"/>
      <c r="B14" s="1"/>
      <c r="C14" s="1"/>
      <c r="D14" s="1"/>
    </row>
    <row r="15" spans="1:4" x14ac:dyDescent="0.35">
      <c r="A15" s="1"/>
      <c r="B15" s="1"/>
      <c r="C15" s="1"/>
      <c r="D15" s="1"/>
    </row>
  </sheetData>
  <mergeCells count="1">
    <mergeCell ref="A12:D1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Suivi des accords</vt:lpstr>
      <vt:lpstr>Synthese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FO ICO</cp:lastModifiedBy>
  <cp:revision>0</cp:revision>
  <dcterms:created xsi:type="dcterms:W3CDTF">2026-09-20T16:22:51Z</dcterms:created>
  <dcterms:modified xsi:type="dcterms:W3CDTF">2026-09-20T16:32:47Z</dcterms:modified>
  <dc:language>en-US</dc:language>
</cp:coreProperties>
</file>
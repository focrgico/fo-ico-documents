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-diperi\Desktop\fo-ico-documents\"/>
    </mc:Choice>
  </mc:AlternateContent>
  <xr:revisionPtr revIDLastSave="0" documentId="13_ncr:1_{E4B7B82C-EF3C-4A41-BD85-C4C9D3E2B0D8}" xr6:coauthVersionLast="47" xr6:coauthVersionMax="47" xr10:uidLastSave="{00000000-0000-0000-0000-000000000000}"/>
  <bookViews>
    <workbookView xWindow="0" yWindow="360" windowWidth="19420" windowHeight="11500" xr2:uid="{00000000-000D-0000-FFFF-FFFF00000000}"/>
  </bookViews>
  <sheets>
    <sheet name="Suivi des accords" sheetId="1" r:id="rId1"/>
    <sheet name="Synthes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<sst xmlns="http://schemas.openxmlformats.org/spreadsheetml/2006/main" count="308" uniqueCount="227">
  <si>
    <t>Thème</t>
  </si>
  <si>
    <t>Catégorie</t>
  </si>
  <si>
    <t>Date de signature</t>
  </si>
  <si>
    <t>PDF signé</t>
  </si>
  <si>
    <t>Word d'origine</t>
  </si>
  <si>
    <t>Résumé</t>
  </si>
  <si>
    <t>Dépliant</t>
  </si>
  <si>
    <t>Nb dépliants</t>
  </si>
  <si>
    <t>Remarques</t>
  </si>
  <si>
    <t>Convention collective nationale des CLCC (texte intégral)</t>
  </si>
  <si>
    <t>CCN</t>
  </si>
  <si>
    <t>consolidée au 01/02/2026</t>
  </si>
  <si>
    <t>CCN des CLCC - 1er février 2026.pdf</t>
  </si>
  <si>
    <t>manquant</t>
  </si>
  <si>
    <t>—</t>
  </si>
  <si>
    <t>Texte de référence intégral (802 077 caractères), pas un accord local</t>
  </si>
  <si>
    <t>Télétravail</t>
  </si>
  <si>
    <t>Accord local</t>
  </si>
  <si>
    <t>27/04/2021</t>
  </si>
  <si>
    <t>Accord Télétravail_signé.pdf</t>
  </si>
  <si>
    <t>Accord Télétravail_vdéfinitive.docx</t>
  </si>
  <si>
    <t>resume-teletravail-2021.md</t>
  </si>
  <si>
    <t>Depliant_teletravail_FO.pdf</t>
  </si>
  <si>
    <t>Durée et aménagement du temps de travail — cadres</t>
  </si>
  <si>
    <t>12/05/2021 + avenant 31/12/2025</t>
  </si>
  <si>
    <t>Accord Durée et ATT Cadres_signé.pdf</t>
  </si>
  <si>
    <t>Accord Durée et ATT Cadres_vDéfinitive.docx</t>
  </si>
  <si>
    <t>resume-att-cadres-2021.md</t>
  </si>
  <si>
    <t>Depliant_ATT_cadres_forfait_jours_FO.pdf · Depliant_ATT_cadres_en_heures_FO.pdf</t>
  </si>
  <si>
    <t>PDF signé ajouté le 21/09/2026</t>
  </si>
  <si>
    <t>Durée et aménagement du temps de travail — non-cadres</t>
  </si>
  <si>
    <t>14/09/2020 + avenants 2022 et 2025</t>
  </si>
  <si>
    <t>Accord ATT Non Cadre + PV_Signé.pdf</t>
  </si>
  <si>
    <t>Accord Durée et ATT Non Cadre_VDéfinitive.docx</t>
  </si>
  <si>
    <t>resume-att-non-cadres-2020.md</t>
  </si>
  <si>
    <t>Depliant_ATT_non_cadres_1_horaires_FO.pdf · Depliant_ATT_non_cadres_2_annualisation_FO.pdf · Depliant_ATT_non_cadres_3_conges_FO.pdf · Depliant_ATT_non_cadres_4_travail_de_nuit_FO.pdf</t>
  </si>
  <si>
    <t>Accord le plus long : plusieurs volets dans le dépliant</t>
  </si>
  <si>
    <t>Compteur intermédiaire — salariés postés et non postés</t>
  </si>
  <si>
    <t>23/03/2024 (non postés) et 21/06/2024 (postés)</t>
  </si>
  <si>
    <t>Accord compteur intermédiaire salarié posté_signé.pdf</t>
  </si>
  <si>
    <t>Accord compteur intermédiaire non postés version finale.docx + ...salarié posté_versiondéfinitive.docx</t>
  </si>
  <si>
    <t>resume-compteur-intermediaire.md</t>
  </si>
  <si>
    <t>Depliant_compteur_intermediaire_FO.pdf</t>
  </si>
  <si>
    <t>Deux accords réunis (postés / non postés) dans un seul résumé et dépliant</t>
  </si>
  <si>
    <t>Compte Épargne Temps (CET)</t>
  </si>
  <si>
    <t>2021 (base, PDF non retrouvé) + avenant 2022</t>
  </si>
  <si>
    <t>Accord CET_Avenant n1_signé.pdf</t>
  </si>
  <si>
    <t>resume-cet-avenant-2022.md</t>
  </si>
  <si>
    <t>Depliant_CET_FO.pdf</t>
  </si>
  <si>
    <t>Fichier orphelin 'vDéfinitive' supprimé le 21/09/2026 (confirmé David) — accord de base toujours sans PDF ni Word</t>
  </si>
  <si>
    <t>CDD à objet défini</t>
  </si>
  <si>
    <t>2021</t>
  </si>
  <si>
    <t>Accord CDD à objet défini_Signé.pdf</t>
  </si>
  <si>
    <t>Accord CDD à objet défini_vDéfinitive.docx</t>
  </si>
  <si>
    <t>resume-cdd-objet-defini-2021.md</t>
  </si>
  <si>
    <t>Depliant_CDD_objet_defini_FO.pdf</t>
  </si>
  <si>
    <t>PERCOL (épargne retraite collective)</t>
  </si>
  <si>
    <t>Accord PERCOL_Signé.pdf</t>
  </si>
  <si>
    <t>Accord PERCOL_vDéfinitive.docx</t>
  </si>
  <si>
    <t>resume-percol-2021.md</t>
  </si>
  <si>
    <t>Depliant_PERCOL_FO.pdf</t>
  </si>
  <si>
    <t>Congé humanitaire</t>
  </si>
  <si>
    <t>2026</t>
  </si>
  <si>
    <t>Accord Congé Humanitaire (2026).pdf</t>
  </si>
  <si>
    <t>Accord sur le congé humanitaire V2.docx</t>
  </si>
  <si>
    <t>resume-conge-humanitaire-2026.md</t>
  </si>
  <si>
    <t>Depliant_conge_humanitaire_FO.pdf</t>
  </si>
  <si>
    <t>Égalité femmes-hommes (version en vigueur)</t>
  </si>
  <si>
    <t>2026 (version en vigueur)</t>
  </si>
  <si>
    <t>Accord égalité FH 2026.pdf</t>
  </si>
  <si>
    <t>Accord Egalité F H_V2026 05 20.docx</t>
  </si>
  <si>
    <t>resume-egalite-fh-2026.md</t>
  </si>
  <si>
    <t>Depliant_egalite_femmes_hommes_FO.pdf</t>
  </si>
  <si>
    <t>Travail de nuit</t>
  </si>
  <si>
    <t>Accord travail de nuit - 2026.pdf</t>
  </si>
  <si>
    <t>Accord  nuit V 2026 05 04.docx</t>
  </si>
  <si>
    <t>resume-travail-nuit-2026.md</t>
  </si>
  <si>
    <t>Depliant_stages_de_jour_personnel_nuit_FO.pdf</t>
  </si>
  <si>
    <t>Validation des Acquis Professionnels (VAP)</t>
  </si>
  <si>
    <t>22/03/2024 + avenant 04/02/2025</t>
  </si>
  <si>
    <t>Accord sur la validation des acquis professionnels _Version signée.pdf</t>
  </si>
  <si>
    <t>Accord sur la validation des acquis professionnels V2025-2.docx</t>
  </si>
  <si>
    <t>resume-vap-2025.md</t>
  </si>
  <si>
    <t>Depliant_VAP_FO.pdf</t>
  </si>
  <si>
    <t>Avenant du 04/02/2025 relié au catalogue le 21/09/2026 — confirme la version V2025-2 du Word conservé</t>
  </si>
  <si>
    <t>Répartition de la BIC</t>
  </si>
  <si>
    <t>2025 (V2025-2)</t>
  </si>
  <si>
    <t>Accord relatif à la répartition de la BIC_Version signée.pdf</t>
  </si>
  <si>
    <t>Accord sur la répartition de la BIC V2025-2.docx</t>
  </si>
  <si>
    <t>resume-bic-2025.md</t>
  </si>
  <si>
    <t>Depliant_BIC_FO.pdf</t>
  </si>
  <si>
    <t>Intéressement</t>
  </si>
  <si>
    <t>Accord d'entreprise relatif à l'intéressement (2026).pdf</t>
  </si>
  <si>
    <t>Accord  intéressement 2026 _ Version 4 (22.05.2026).docx</t>
  </si>
  <si>
    <t>resume-interessement-2026.md</t>
  </si>
  <si>
    <t>Depliant_interessement_FO.pdf</t>
  </si>
  <si>
    <t>Forfait Mobilité Durable</t>
  </si>
  <si>
    <t>24/10/2025</t>
  </si>
  <si>
    <t>Accord Forfait Mobilité Durable Vfinale.docx</t>
  </si>
  <si>
    <t>resume-forfait-mobilite-durable-2025.md</t>
  </si>
  <si>
    <t>Depliant_forfait_mobilite_durable_FO.pdf</t>
  </si>
  <si>
    <t>PDF 2025 toujours manquant. Word 2025 retrouvé le 21/09/2026 (dormait non relié au catalogue) — confirme le texte déjà en place. Version 2024 (PDF + 2 Word en double) archivée.</t>
  </si>
  <si>
    <t>Prime chaussures</t>
  </si>
  <si>
    <t>21/06/2023</t>
  </si>
  <si>
    <t>Accord prime chaussure version signée.pdf</t>
  </si>
  <si>
    <t>Accord Prime Chaussures V finale.docx</t>
  </si>
  <si>
    <t>resume-prime-chaussures-2023.md</t>
  </si>
  <si>
    <t>Depliant_prime_chaussures_FO.pdf</t>
  </si>
  <si>
    <t>Prime USC</t>
  </si>
  <si>
    <t>2023</t>
  </si>
  <si>
    <t>Accord prime USC signé.pdf</t>
  </si>
  <si>
    <t>Accord prime USC V finale.docx</t>
  </si>
  <si>
    <t>resume-prime-usc-2023.md</t>
  </si>
  <si>
    <t>Depliant_prime_USC_FO.pdf</t>
  </si>
  <si>
    <t>PVA</t>
  </si>
  <si>
    <t>2022</t>
  </si>
  <si>
    <t>Accord PVA_2022_Signé.pdf</t>
  </si>
  <si>
    <t>Accord PVA_vFinale.docx</t>
  </si>
  <si>
    <t>resume-pva-2022.md</t>
  </si>
  <si>
    <t>Depliant_PVA_FO.pdf</t>
  </si>
  <si>
    <t>Prime de retour inopiné (DUE, non négociée)</t>
  </si>
  <si>
    <t>DUE</t>
  </si>
  <si>
    <t>01/05/2024 (DUE, non négociée)</t>
  </si>
  <si>
    <t>DUE_Prime de retour inopiné.pdf</t>
  </si>
  <si>
    <t>DUE_Prime de retour inopiné 01.05.2024 _ MER IDE AS.docx</t>
  </si>
  <si>
    <t>resume-prime-retour-inopine.md</t>
  </si>
  <si>
    <t>Depliant_DUE_prime_retour_inopine_FO.pdf</t>
  </si>
  <si>
    <t>Parcours professionnel — Assistants Médicaux</t>
  </si>
  <si>
    <t>2025</t>
  </si>
  <si>
    <t>Accord relatif au parcours des assistantes médicales_Version signée.pdf</t>
  </si>
  <si>
    <t>Accord parcours AM Version finale.docx</t>
  </si>
  <si>
    <t>resume-parcours-am-2025.md</t>
  </si>
  <si>
    <t>Depliant_parcours_assistant_medical_FO.pdf</t>
  </si>
  <si>
    <t>Parcours professionnel — IDE / MER</t>
  </si>
  <si>
    <t>13/03/2025</t>
  </si>
  <si>
    <t>Accord parcours IDE et MER_Version signée.pdf</t>
  </si>
  <si>
    <t>Accord parcours IDE et MER V 2025 03 13 - VF.docx</t>
  </si>
  <si>
    <t>resume-parcours-ide-mer-2025.md</t>
  </si>
  <si>
    <t>Depliant_parcours_IDE_MER_FO.pdf</t>
  </si>
  <si>
    <t>Parcours professionnel — Physiciens médicaux</t>
  </si>
  <si>
    <t>Accord Parcours Phycisiens_2022_Signé.pdf</t>
  </si>
  <si>
    <t>Accord Physiciens médicaux 2022_vFinale.docx</t>
  </si>
  <si>
    <t>resume-parcours-physiciens-2022.md</t>
  </si>
  <si>
    <t>Depliant_parcours_physiciens_medicaux_FO.pdf</t>
  </si>
  <si>
    <t>Reprise d'ancienneté — MER / AS / IDE</t>
  </si>
  <si>
    <t>Accord Reprise Expérience professionnelle MER-AS-IDE_2022_Signé.pdf</t>
  </si>
  <si>
    <t>Accord reprise ancienneté MER IDE AS_vFinale.docx</t>
  </si>
  <si>
    <t>resume-reprise-anciennete-mer-as-ide-2022.md</t>
  </si>
  <si>
    <t>Depliant_reprise_anciennete_MER_IDE_AS_FO.pdf</t>
  </si>
  <si>
    <t>Dialogue social</t>
  </si>
  <si>
    <t>Élections</t>
  </si>
  <si>
    <t>Accord dialogue social 2026.pdf</t>
  </si>
  <si>
    <t>Accord sur le dialogue social 2026_Version 03.docx</t>
  </si>
  <si>
    <t>resume-dialogue-social-2026.md</t>
  </si>
  <si>
    <t>Exclu du périmètre dépliant (accord d'instance)</t>
  </si>
  <si>
    <t>Vote électronique</t>
  </si>
  <si>
    <t>09/04/2026</t>
  </si>
  <si>
    <t>ACCORD VOTE ELECTRONIQUE _ Elections professionnelles 2026.pdf</t>
  </si>
  <si>
    <t>Accord Vote électronique_v2026 04 09.docx</t>
  </si>
  <si>
    <t>resume-vote-electronique-2026.md</t>
  </si>
  <si>
    <t>DUE : parcours techniciens de laboratoire / macroscopie</t>
  </si>
  <si>
    <t>DUE, non datée précisément</t>
  </si>
  <si>
    <t>DUE Parcours techs de laboratoire-macroscopie_Version signée.pdf</t>
  </si>
  <si>
    <t>DUE Tech de labo d'anapath.docx</t>
  </si>
  <si>
    <t>resume-due-parcours-macroscopie.md</t>
  </si>
  <si>
    <t>Depliant_DUE_parcours_macroscopie_FO.pdf</t>
  </si>
  <si>
    <t>DUE : complémentaire frais de santé</t>
  </si>
  <si>
    <t>27/05/2024 (DUE)</t>
  </si>
  <si>
    <t>DUE CFS_v2024 05 27.docx</t>
  </si>
  <si>
    <t>resume-due-complementaire-frais-sante.md</t>
  </si>
  <si>
    <t>Depliant_DUE_complementaire_frais_sante_FO.pdf</t>
  </si>
  <si>
    <t>DUE : prime pool remplacement — Assistantes Médicales</t>
  </si>
  <si>
    <t>22/04/2024 (DUE)</t>
  </si>
  <si>
    <t>DUE_Prime de Pool de remplacement _ Assistantes Médicales Vfinale.docx</t>
  </si>
  <si>
    <t>resume-due-prime-pool-remplacement-am.md</t>
  </si>
  <si>
    <t>Depliant_DUE_prime_pool_remplacement_FO.pdf</t>
  </si>
  <si>
    <t>DUE : prime pool remplacement — AS / IDE</t>
  </si>
  <si>
    <t>DUE_Prime de Pool de remplacement _ soignants Version Définitive.docx</t>
  </si>
  <si>
    <t>resume-due-prime-pool-remplacement-soignants.md</t>
  </si>
  <si>
    <t>Chèques syndicaux</t>
  </si>
  <si>
    <t>03/10/2022</t>
  </si>
  <si>
    <t>Accord-Chèques syndicaux_v signée.pdf</t>
  </si>
  <si>
    <t>Accord chèques syndicaux_v2022-09-22.docx</t>
  </si>
  <si>
    <t>resume-cheques-syndicaux.md</t>
  </si>
  <si>
    <t>Depliant_cheques_syndicaux_FO.pdf</t>
  </si>
  <si>
    <t>Acquisition de CP pendant un arrêt maladie — cadres</t>
  </si>
  <si>
    <t>Accord acquisition CP sur maladie - cadres.docx</t>
  </si>
  <si>
    <t>Acquisition de CP pendant un arrêt maladie — non-cadres</t>
  </si>
  <si>
    <t>Accord acquisition CP sur maladie-Non cadres.docx</t>
  </si>
  <si>
    <t>PV de désaccord NAO 2023</t>
  </si>
  <si>
    <t>NAO</t>
  </si>
  <si>
    <t>08/06/2023</t>
  </si>
  <si>
    <t>PV Desaccord NAO 2023.pdf</t>
  </si>
  <si>
    <t>PV Desaccord NAO 2023.md</t>
  </si>
  <si>
    <t>PV de désaccord — ne s'archive jamais, conservé indéfiniment dans docs/nao/</t>
  </si>
  <si>
    <t>PV de désaccord NAO 2024</t>
  </si>
  <si>
    <t>18/04/2024</t>
  </si>
  <si>
    <t>NAO 2024 - PV Désaccord.pdf</t>
  </si>
  <si>
    <t>NAO 2024 - PV Desaccord.md</t>
  </si>
  <si>
    <t>PV de désaccord NAO 2025</t>
  </si>
  <si>
    <t>13/10/2025</t>
  </si>
  <si>
    <t>NAO 2025 - Procès verbal de désaccord.pdf</t>
  </si>
  <si>
    <t>pv-desaccord-nao-2025.md</t>
  </si>
  <si>
    <t>PV de désaccord NAO 2026</t>
  </si>
  <si>
    <t>NAO 2026 _PV de désaccord signé.pdf</t>
  </si>
  <si>
    <t>NAO 2026 _PV de desaccord signe.md</t>
  </si>
  <si>
    <t>Grille de rémunération et de classification — personnel non praticien</t>
  </si>
  <si>
    <t>2025-01-01 Grille de rémunération CLCC non praticiens.pdf</t>
  </si>
  <si>
    <t>Grille vérifiée manuellement, extraite de la CCN</t>
  </si>
  <si>
    <t>Grille de rémunération — praticiens</t>
  </si>
  <si>
    <t>Grille rémunération praticien.pdf</t>
  </si>
  <si>
    <t>Accord intergénérationnel</t>
  </si>
  <si>
    <t>30/01/2020 + avenant 15/09/2023 (avenant 2021 archivé)</t>
  </si>
  <si>
    <t>Accord Intergénérationnel du 30 01 2020_signé.pdf</t>
  </si>
  <si>
    <t>resume-intergenerationnel.md</t>
  </si>
  <si>
    <t>Depliant_intergenerationnel_FO.pdf</t>
  </si>
  <si>
    <t>Avenant 2021 déclaré non en vigueur par David (21/09/2026), archivé — seuls la base 2020 et l'avenant 2023 sont actifs</t>
  </si>
  <si>
    <t>Synthèse au 21 septembre 2026</t>
  </si>
  <si>
    <t>Documents suivis</t>
  </si>
  <si>
    <t>PDF signés présents</t>
  </si>
  <si>
    <t>PDF signés manquants</t>
  </si>
  <si>
    <t>Word d'origine manquants</t>
  </si>
  <si>
    <t>Résumés rédigés</t>
  </si>
  <si>
    <t>Documents sans résumé</t>
  </si>
  <si>
    <t>Dépliants produits</t>
  </si>
  <si>
    <t>Documents sans dépliant</t>
  </si>
  <si>
    <t>Note : « Documents sans dépliant » comprend les exclusions volontaires (NAO, vote électronique, dialogue social) et les textes de référence (CCN, ses 2 grilles).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</si>
</sst>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420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workbookViewId="0">
      <pane ySplit="1" topLeftCell="A2" activePane="bottomLeft" state="frozen"/>
      <selection pane="bottomLeft" activeCell="E34" sqref="E34:E40"/>
    </sheetView>
  </sheetViews>
  <sheetFormatPr baseColWidth="10" defaultColWidth="8.7265625" defaultRowHeight="14.5" x14ac:dyDescent="0.35"/>
  <cols>
    <col min="1" max="1" width="32" customWidth="1"/>
    <col min="2" max="2" width="14" customWidth="1"/>
    <col min="3" max="3" width="49.1796875" bestFit="1" customWidth="1"/>
    <col min="4" max="4" width="40" customWidth="1"/>
    <col min="5" max="5" width="44" customWidth="1"/>
    <col min="6" max="6" width="34" customWidth="1"/>
    <col min="7" max="7" width="84.81640625" customWidth="1"/>
    <col min="8" max="8" width="8" customWidth="1"/>
    <col min="9" max="9" width="55" customWidth="1"/>
  </cols>
  <sheetData>
    <row r="1" spans="1:9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13</v>
      </c>
      <c r="G2" t="s">
        <v>14</v>
      </c>
      <c r="H2">
        <v>0</v>
      </c>
      <c r="I2" t="s">
        <v>15</v>
      </c>
    </row>
    <row r="3" spans="1:9" x14ac:dyDescent="0.35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>
        <v>1</v>
      </c>
    </row>
    <row r="4" spans="1:9" x14ac:dyDescent="0.35">
      <c r="A4" t="s">
        <v>23</v>
      </c>
      <c r="B4" t="s">
        <v>17</v>
      </c>
      <c r="C4" t="s">
        <v>24</v>
      </c>
      <c r="D4" t="s">
        <v>25</v>
      </c>
      <c r="E4" t="s">
        <v>26</v>
      </c>
      <c r="F4" t="s">
        <v>27</v>
      </c>
      <c r="G4" t="s">
        <v>28</v>
      </c>
      <c r="H4">
        <v>2</v>
      </c>
      <c r="I4" t="s">
        <v>29</v>
      </c>
    </row>
    <row r="5" spans="1:9" x14ac:dyDescent="0.35">
      <c r="A5" t="s">
        <v>30</v>
      </c>
      <c r="B5" t="s">
        <v>17</v>
      </c>
      <c r="C5" t="s">
        <v>31</v>
      </c>
      <c r="D5" t="s">
        <v>32</v>
      </c>
      <c r="E5" t="s">
        <v>33</v>
      </c>
      <c r="F5" t="s">
        <v>34</v>
      </c>
      <c r="G5" t="s">
        <v>35</v>
      </c>
      <c r="H5">
        <v>4</v>
      </c>
      <c r="I5" t="s">
        <v>36</v>
      </c>
    </row>
    <row r="6" spans="1:9" x14ac:dyDescent="0.35">
      <c r="A6" t="s">
        <v>37</v>
      </c>
      <c r="B6" t="s">
        <v>17</v>
      </c>
      <c r="C6" t="s">
        <v>38</v>
      </c>
      <c r="D6" t="s">
        <v>39</v>
      </c>
      <c r="E6" t="s">
        <v>40</v>
      </c>
      <c r="F6" t="s">
        <v>41</v>
      </c>
      <c r="G6" t="s">
        <v>42</v>
      </c>
      <c r="H6">
        <v>1</v>
      </c>
      <c r="I6" t="s">
        <v>43</v>
      </c>
    </row>
    <row r="7" spans="1:9" x14ac:dyDescent="0.35">
      <c r="A7" t="s">
        <v>44</v>
      </c>
      <c r="B7" t="s">
        <v>17</v>
      </c>
      <c r="C7" t="s">
        <v>45</v>
      </c>
      <c r="D7" t="s">
        <v>46</v>
      </c>
      <c r="E7" t="s">
        <v>13</v>
      </c>
      <c r="F7" t="s">
        <v>47</v>
      </c>
      <c r="G7" t="s">
        <v>48</v>
      </c>
      <c r="H7">
        <v>1</v>
      </c>
      <c r="I7" t="s">
        <v>49</v>
      </c>
    </row>
    <row r="8" spans="1:9" x14ac:dyDescent="0.35">
      <c r="A8" t="s">
        <v>50</v>
      </c>
      <c r="B8" t="s">
        <v>17</v>
      </c>
      <c r="C8" t="s">
        <v>51</v>
      </c>
      <c r="D8" t="s">
        <v>52</v>
      </c>
      <c r="E8" t="s">
        <v>53</v>
      </c>
      <c r="F8" t="s">
        <v>54</v>
      </c>
      <c r="G8" t="s">
        <v>55</v>
      </c>
      <c r="H8">
        <v>1</v>
      </c>
    </row>
    <row r="9" spans="1:9" x14ac:dyDescent="0.35">
      <c r="A9" t="s">
        <v>56</v>
      </c>
      <c r="B9" t="s">
        <v>17</v>
      </c>
      <c r="C9" t="s">
        <v>51</v>
      </c>
      <c r="D9" t="s">
        <v>57</v>
      </c>
      <c r="E9" t="s">
        <v>58</v>
      </c>
      <c r="F9" t="s">
        <v>59</v>
      </c>
      <c r="G9" t="s">
        <v>60</v>
      </c>
      <c r="H9">
        <v>1</v>
      </c>
    </row>
    <row r="10" spans="1:9" x14ac:dyDescent="0.35">
      <c r="A10" t="s">
        <v>61</v>
      </c>
      <c r="B10" t="s">
        <v>17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>
        <v>1</v>
      </c>
    </row>
    <row r="11" spans="1:9" x14ac:dyDescent="0.35">
      <c r="A11" t="s">
        <v>67</v>
      </c>
      <c r="B11" t="s">
        <v>17</v>
      </c>
      <c r="C11" t="s">
        <v>68</v>
      </c>
      <c r="D11" t="s">
        <v>69</v>
      </c>
      <c r="E11" t="s">
        <v>70</v>
      </c>
      <c r="F11" t="s">
        <v>71</v>
      </c>
      <c r="G11" t="s">
        <v>72</v>
      </c>
      <c r="H11">
        <v>1</v>
      </c>
    </row>
    <row r="12" spans="1:9" x14ac:dyDescent="0.35">
      <c r="A12" t="s">
        <v>73</v>
      </c>
      <c r="B12" t="s">
        <v>17</v>
      </c>
      <c r="C12" t="s">
        <v>62</v>
      </c>
      <c r="D12" t="s">
        <v>74</v>
      </c>
      <c r="E12" t="s">
        <v>75</v>
      </c>
      <c r="F12" t="s">
        <v>76</v>
      </c>
      <c r="G12" t="s">
        <v>77</v>
      </c>
      <c r="H12">
        <v>1</v>
      </c>
    </row>
    <row r="13" spans="1:9" x14ac:dyDescent="0.35">
      <c r="A13" t="s">
        <v>78</v>
      </c>
      <c r="B13" t="s">
        <v>17</v>
      </c>
      <c r="C13" t="s">
        <v>79</v>
      </c>
      <c r="D13" t="s">
        <v>80</v>
      </c>
      <c r="E13" t="s">
        <v>81</v>
      </c>
      <c r="F13" t="s">
        <v>82</v>
      </c>
      <c r="G13" t="s">
        <v>83</v>
      </c>
      <c r="H13">
        <v>1</v>
      </c>
      <c r="I13" t="s">
        <v>84</v>
      </c>
    </row>
    <row r="14" spans="1:9" x14ac:dyDescent="0.35">
      <c r="A14" t="s">
        <v>85</v>
      </c>
      <c r="B14" t="s">
        <v>17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>
        <v>1</v>
      </c>
    </row>
    <row r="15" spans="1:9" x14ac:dyDescent="0.35">
      <c r="A15" t="s">
        <v>91</v>
      </c>
      <c r="B15" t="s">
        <v>17</v>
      </c>
      <c r="C15" t="s">
        <v>62</v>
      </c>
      <c r="D15" t="s">
        <v>92</v>
      </c>
      <c r="E15" t="s">
        <v>93</v>
      </c>
      <c r="F15" t="s">
        <v>94</v>
      </c>
      <c r="G15" t="s">
        <v>95</v>
      </c>
      <c r="H15">
        <v>1</v>
      </c>
    </row>
    <row r="16" spans="1:9" x14ac:dyDescent="0.35">
      <c r="A16" t="s">
        <v>96</v>
      </c>
      <c r="B16" t="s">
        <v>17</v>
      </c>
      <c r="C16" t="s">
        <v>97</v>
      </c>
      <c r="D16" t="s">
        <v>13</v>
      </c>
      <c r="E16" t="s">
        <v>98</v>
      </c>
      <c r="F16" t="s">
        <v>99</v>
      </c>
      <c r="G16" t="s">
        <v>100</v>
      </c>
      <c r="H16">
        <v>1</v>
      </c>
      <c r="I16" t="s">
        <v>101</v>
      </c>
    </row>
    <row r="17" spans="1:9" x14ac:dyDescent="0.35">
      <c r="A17" t="s">
        <v>102</v>
      </c>
      <c r="B17" t="s">
        <v>17</v>
      </c>
      <c r="C17" t="s">
        <v>103</v>
      </c>
      <c r="D17" t="s">
        <v>104</v>
      </c>
      <c r="E17" t="s">
        <v>105</v>
      </c>
      <c r="F17" t="s">
        <v>106</v>
      </c>
      <c r="G17" t="s">
        <v>107</v>
      </c>
      <c r="H17">
        <v>1</v>
      </c>
    </row>
    <row r="18" spans="1:9" x14ac:dyDescent="0.35">
      <c r="A18" t="s">
        <v>108</v>
      </c>
      <c r="B18" t="s">
        <v>17</v>
      </c>
      <c r="C18" t="s">
        <v>109</v>
      </c>
      <c r="D18" t="s">
        <v>110</v>
      </c>
      <c r="E18" t="s">
        <v>111</v>
      </c>
      <c r="F18" t="s">
        <v>112</v>
      </c>
      <c r="G18" t="s">
        <v>113</v>
      </c>
      <c r="H18">
        <v>1</v>
      </c>
    </row>
    <row r="19" spans="1:9" x14ac:dyDescent="0.35">
      <c r="A19" t="s">
        <v>114</v>
      </c>
      <c r="B19" t="s">
        <v>17</v>
      </c>
      <c r="C19" t="s">
        <v>115</v>
      </c>
      <c r="D19" t="s">
        <v>116</v>
      </c>
      <c r="E19" t="s">
        <v>117</v>
      </c>
      <c r="F19" t="s">
        <v>118</v>
      </c>
      <c r="G19" t="s">
        <v>119</v>
      </c>
      <c r="H19">
        <v>1</v>
      </c>
    </row>
    <row r="20" spans="1:9" x14ac:dyDescent="0.35">
      <c r="A20" t="s">
        <v>120</v>
      </c>
      <c r="B20" t="s">
        <v>121</v>
      </c>
      <c r="C20" t="s">
        <v>122</v>
      </c>
      <c r="D20" t="s">
        <v>123</v>
      </c>
      <c r="E20" t="s">
        <v>124</v>
      </c>
      <c r="F20" t="s">
        <v>125</v>
      </c>
      <c r="G20" t="s">
        <v>126</v>
      </c>
      <c r="H20">
        <v>1</v>
      </c>
    </row>
    <row r="21" spans="1:9" x14ac:dyDescent="0.35">
      <c r="A21" t="s">
        <v>127</v>
      </c>
      <c r="B21" t="s">
        <v>17</v>
      </c>
      <c r="C21" t="s">
        <v>128</v>
      </c>
      <c r="D21" t="s">
        <v>129</v>
      </c>
      <c r="E21" t="s">
        <v>130</v>
      </c>
      <c r="F21" t="s">
        <v>131</v>
      </c>
      <c r="G21" t="s">
        <v>132</v>
      </c>
      <c r="H21">
        <v>1</v>
      </c>
    </row>
    <row r="22" spans="1:9" x14ac:dyDescent="0.35">
      <c r="A22" t="s">
        <v>133</v>
      </c>
      <c r="B22" t="s">
        <v>17</v>
      </c>
      <c r="C22" t="s">
        <v>134</v>
      </c>
      <c r="D22" t="s">
        <v>135</v>
      </c>
      <c r="E22" t="s">
        <v>136</v>
      </c>
      <c r="F22" t="s">
        <v>137</v>
      </c>
      <c r="G22" t="s">
        <v>138</v>
      </c>
      <c r="H22">
        <v>1</v>
      </c>
    </row>
    <row r="23" spans="1:9" x14ac:dyDescent="0.35">
      <c r="A23" t="s">
        <v>139</v>
      </c>
      <c r="B23" t="s">
        <v>17</v>
      </c>
      <c r="C23" t="s">
        <v>115</v>
      </c>
      <c r="D23" t="s">
        <v>140</v>
      </c>
      <c r="E23" t="s">
        <v>141</v>
      </c>
      <c r="F23" t="s">
        <v>142</v>
      </c>
      <c r="G23" t="s">
        <v>143</v>
      </c>
      <c r="H23">
        <v>1</v>
      </c>
    </row>
    <row r="24" spans="1:9" x14ac:dyDescent="0.35">
      <c r="A24" t="s">
        <v>144</v>
      </c>
      <c r="B24" t="s">
        <v>17</v>
      </c>
      <c r="C24" t="s">
        <v>115</v>
      </c>
      <c r="D24" t="s">
        <v>145</v>
      </c>
      <c r="E24" t="s">
        <v>146</v>
      </c>
      <c r="F24" t="s">
        <v>147</v>
      </c>
      <c r="G24" t="s">
        <v>148</v>
      </c>
      <c r="H24">
        <v>1</v>
      </c>
    </row>
    <row r="25" spans="1:9" x14ac:dyDescent="0.35">
      <c r="A25" t="s">
        <v>149</v>
      </c>
      <c r="B25" t="s">
        <v>150</v>
      </c>
      <c r="C25" t="s">
        <v>62</v>
      </c>
      <c r="D25" t="s">
        <v>151</v>
      </c>
      <c r="E25" t="s">
        <v>152</v>
      </c>
      <c r="F25" t="s">
        <v>153</v>
      </c>
      <c r="G25" t="s">
        <v>14</v>
      </c>
      <c r="H25">
        <v>0</v>
      </c>
      <c r="I25" t="s">
        <v>154</v>
      </c>
    </row>
    <row r="26" spans="1:9" x14ac:dyDescent="0.35">
      <c r="A26" t="s">
        <v>155</v>
      </c>
      <c r="B26" t="s">
        <v>150</v>
      </c>
      <c r="C26" t="s">
        <v>156</v>
      </c>
      <c r="D26" t="s">
        <v>157</v>
      </c>
      <c r="E26" t="s">
        <v>158</v>
      </c>
      <c r="F26" t="s">
        <v>159</v>
      </c>
      <c r="G26" t="s">
        <v>14</v>
      </c>
      <c r="H26">
        <v>0</v>
      </c>
      <c r="I26" t="s">
        <v>154</v>
      </c>
    </row>
    <row r="27" spans="1:9" x14ac:dyDescent="0.35">
      <c r="A27" t="s">
        <v>160</v>
      </c>
      <c r="B27" t="s">
        <v>121</v>
      </c>
      <c r="C27" t="s">
        <v>161</v>
      </c>
      <c r="D27" t="s">
        <v>162</v>
      </c>
      <c r="E27" t="s">
        <v>163</v>
      </c>
      <c r="F27" t="s">
        <v>164</v>
      </c>
      <c r="G27" t="s">
        <v>165</v>
      </c>
      <c r="H27">
        <v>1</v>
      </c>
    </row>
    <row r="28" spans="1:9" x14ac:dyDescent="0.35">
      <c r="A28" t="s">
        <v>166</v>
      </c>
      <c r="B28" t="s">
        <v>121</v>
      </c>
      <c r="C28" t="s">
        <v>167</v>
      </c>
      <c r="D28" t="s">
        <v>13</v>
      </c>
      <c r="E28" t="s">
        <v>168</v>
      </c>
      <c r="F28" t="s">
        <v>169</v>
      </c>
      <c r="G28" t="s">
        <v>170</v>
      </c>
      <c r="H28">
        <v>1</v>
      </c>
    </row>
    <row r="29" spans="1:9" x14ac:dyDescent="0.35">
      <c r="A29" t="s">
        <v>171</v>
      </c>
      <c r="B29" t="s">
        <v>121</v>
      </c>
      <c r="C29" t="s">
        <v>172</v>
      </c>
      <c r="D29" t="s">
        <v>13</v>
      </c>
      <c r="E29" t="s">
        <v>173</v>
      </c>
      <c r="F29" t="s">
        <v>174</v>
      </c>
      <c r="G29" t="s">
        <v>175</v>
      </c>
      <c r="H29">
        <v>1</v>
      </c>
    </row>
    <row r="30" spans="1:9" x14ac:dyDescent="0.35">
      <c r="A30" t="s">
        <v>176</v>
      </c>
      <c r="B30" t="s">
        <v>121</v>
      </c>
      <c r="C30" t="s">
        <v>172</v>
      </c>
      <c r="D30" t="s">
        <v>13</v>
      </c>
      <c r="E30" t="s">
        <v>177</v>
      </c>
      <c r="F30" t="s">
        <v>178</v>
      </c>
      <c r="G30" t="s">
        <v>175</v>
      </c>
      <c r="H30">
        <v>1</v>
      </c>
    </row>
    <row r="31" spans="1:9" x14ac:dyDescent="0.35">
      <c r="A31" t="s">
        <v>179</v>
      </c>
      <c r="B31" t="s">
        <v>17</v>
      </c>
      <c r="C31" t="s">
        <v>180</v>
      </c>
      <c r="D31" t="s">
        <v>181</v>
      </c>
      <c r="E31" t="s">
        <v>182</v>
      </c>
      <c r="F31" t="s">
        <v>183</v>
      </c>
      <c r="G31" t="s">
        <v>184</v>
      </c>
      <c r="H31">
        <v>1</v>
      </c>
    </row>
    <row r="32" spans="1:9" x14ac:dyDescent="0.35">
      <c r="A32" t="s">
        <v>185</v>
      </c>
      <c r="B32" t="s">
        <v>17</v>
      </c>
      <c r="C32" t="s">
        <v>128</v>
      </c>
      <c r="D32" t="s">
        <v>13</v>
      </c>
      <c r="E32" t="s">
        <v>186</v>
      </c>
      <c r="F32" t="s">
        <v>27</v>
      </c>
      <c r="G32" t="s">
        <v>28</v>
      </c>
      <c r="H32">
        <v>2</v>
      </c>
    </row>
    <row r="33" spans="1:9" x14ac:dyDescent="0.35">
      <c r="A33" t="s">
        <v>187</v>
      </c>
      <c r="B33" t="s">
        <v>17</v>
      </c>
      <c r="C33" t="s">
        <v>128</v>
      </c>
      <c r="D33" t="s">
        <v>13</v>
      </c>
      <c r="E33" t="s">
        <v>188</v>
      </c>
      <c r="F33" t="s">
        <v>34</v>
      </c>
      <c r="G33" t="s">
        <v>35</v>
      </c>
      <c r="H33">
        <v>4</v>
      </c>
    </row>
    <row r="34" spans="1:9" x14ac:dyDescent="0.35">
      <c r="A34" t="s">
        <v>189</v>
      </c>
      <c r="B34" t="s">
        <v>190</v>
      </c>
      <c r="C34" t="s">
        <v>191</v>
      </c>
      <c r="D34" t="s">
        <v>192</v>
      </c>
      <c r="E34" t="s">
        <v>13</v>
      </c>
      <c r="F34" t="s">
        <v>193</v>
      </c>
      <c r="G34" t="s">
        <v>14</v>
      </c>
      <c r="H34">
        <v>0</v>
      </c>
      <c r="I34" t="s">
        <v>194</v>
      </c>
    </row>
    <row r="35" spans="1:9" x14ac:dyDescent="0.35">
      <c r="A35" t="s">
        <v>195</v>
      </c>
      <c r="B35" t="s">
        <v>190</v>
      </c>
      <c r="C35" t="s">
        <v>196</v>
      </c>
      <c r="D35" t="s">
        <v>197</v>
      </c>
      <c r="E35" t="s">
        <v>13</v>
      </c>
      <c r="F35" t="s">
        <v>198</v>
      </c>
      <c r="G35" t="s">
        <v>14</v>
      </c>
      <c r="H35">
        <v>0</v>
      </c>
      <c r="I35" t="s">
        <v>194</v>
      </c>
    </row>
    <row r="36" spans="1:9" x14ac:dyDescent="0.35">
      <c r="A36" t="s">
        <v>199</v>
      </c>
      <c r="B36" t="s">
        <v>190</v>
      </c>
      <c r="C36" t="s">
        <v>200</v>
      </c>
      <c r="D36" t="s">
        <v>201</v>
      </c>
      <c r="E36" t="s">
        <v>13</v>
      </c>
      <c r="F36" t="s">
        <v>202</v>
      </c>
      <c r="G36" t="s">
        <v>14</v>
      </c>
      <c r="H36">
        <v>0</v>
      </c>
      <c r="I36" t="s">
        <v>194</v>
      </c>
    </row>
    <row r="37" spans="1:9" x14ac:dyDescent="0.35">
      <c r="A37" t="s">
        <v>203</v>
      </c>
      <c r="B37" t="s">
        <v>190</v>
      </c>
      <c r="C37" t="s">
        <v>62</v>
      </c>
      <c r="D37" t="s">
        <v>204</v>
      </c>
      <c r="E37" t="s">
        <v>13</v>
      </c>
      <c r="F37" t="s">
        <v>205</v>
      </c>
      <c r="G37" t="s">
        <v>14</v>
      </c>
      <c r="H37">
        <v>0</v>
      </c>
      <c r="I37" t="s">
        <v>194</v>
      </c>
    </row>
    <row r="38" spans="1:9" x14ac:dyDescent="0.35">
      <c r="A38" t="s">
        <v>206</v>
      </c>
      <c r="B38" t="s">
        <v>10</v>
      </c>
      <c r="C38" t="s">
        <v>11</v>
      </c>
      <c r="D38" t="s">
        <v>207</v>
      </c>
      <c r="E38" t="s">
        <v>13</v>
      </c>
      <c r="F38" t="s">
        <v>13</v>
      </c>
      <c r="G38" t="s">
        <v>14</v>
      </c>
      <c r="H38">
        <v>0</v>
      </c>
      <c r="I38" t="s">
        <v>208</v>
      </c>
    </row>
    <row r="39" spans="1:9" x14ac:dyDescent="0.35">
      <c r="A39" t="s">
        <v>209</v>
      </c>
      <c r="B39" t="s">
        <v>10</v>
      </c>
      <c r="C39" t="s">
        <v>11</v>
      </c>
      <c r="D39" t="s">
        <v>210</v>
      </c>
      <c r="E39" t="s">
        <v>13</v>
      </c>
      <c r="F39" t="s">
        <v>13</v>
      </c>
      <c r="G39" t="s">
        <v>14</v>
      </c>
      <c r="H39">
        <v>0</v>
      </c>
      <c r="I39" t="s">
        <v>208</v>
      </c>
    </row>
    <row r="40" spans="1:9" x14ac:dyDescent="0.35">
      <c r="A40" t="s">
        <v>211</v>
      </c>
      <c r="B40" t="s">
        <v>17</v>
      </c>
      <c r="C40" t="s">
        <v>212</v>
      </c>
      <c r="D40" t="s">
        <v>213</v>
      </c>
      <c r="E40" t="s">
        <v>13</v>
      </c>
      <c r="F40" t="s">
        <v>214</v>
      </c>
      <c r="G40" t="s">
        <v>215</v>
      </c>
      <c r="H40">
        <v>1</v>
      </c>
      <c r="I40" t="s">
        <v>216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baseColWidth="10" defaultColWidth="8.7265625" defaultRowHeight="14.5" x14ac:dyDescent="0.35"/>
  <cols>
    <col min="1" max="1" width="30" customWidth="1"/>
    <col min="2" max="2" width="14" customWidth="1"/>
  </cols>
  <sheetData>
    <row r="1" spans="1:2" ht="17" x14ac:dyDescent="0.4">
      <c r="A1" s="2" t="s">
        <v>217</v>
      </c>
    </row>
    <row r="3" spans="1:2" x14ac:dyDescent="0.35">
      <c r="A3" t="s">
        <v>218</v>
      </c>
      <c r="B3">
        <f>COUNTA('Suivi des accords'!A2:A40)</f>
        <v>39</v>
      </c>
    </row>
    <row r="4" spans="1:2" x14ac:dyDescent="0.35">
      <c r="A4" t="s">
        <v>219</v>
      </c>
      <c r="B4">
        <f>COUNTIF('Suivi des accords'!D2:D40,"&lt;&gt;manquant")</f>
        <v>33</v>
      </c>
    </row>
    <row r="5" spans="1:2" x14ac:dyDescent="0.35">
      <c r="A5" t="s">
        <v>220</v>
      </c>
      <c r="B5">
        <f>COUNTIF('Suivi des accords'!D2:D40,"manquant")</f>
        <v>6</v>
      </c>
    </row>
    <row r="6" spans="1:2" x14ac:dyDescent="0.35">
      <c r="A6" t="s">
        <v>221</v>
      </c>
      <c r="B6">
        <f>COUNTIF('Suivi des accords'!E2:E40,"manquant")</f>
        <v>9</v>
      </c>
    </row>
    <row r="7" spans="1:2" x14ac:dyDescent="0.35">
      <c r="A7" t="s">
        <v>222</v>
      </c>
      <c r="B7">
        <f>COUNTIF('Suivi des accords'!F2:F40,"&lt;&gt;manquant")</f>
        <v>36</v>
      </c>
    </row>
    <row r="8" spans="1:2" x14ac:dyDescent="0.35">
      <c r="A8" t="s">
        <v>223</v>
      </c>
      <c r="B8">
        <f>COUNTIF('Suivi des accords'!F2:F40,"manquant")</f>
        <v>3</v>
      </c>
    </row>
    <row r="9" spans="1:2" x14ac:dyDescent="0.35">
      <c r="A9" t="s">
        <v>224</v>
      </c>
      <c r="B9">
        <f>SUM('Suivi des accords'!H2:H40)</f>
        <v>38</v>
      </c>
    </row>
    <row r="10" spans="1:2" x14ac:dyDescent="0.35">
      <c r="A10" t="s">
        <v>225</v>
      </c>
      <c r="B10">
        <f>COUNTIF('Suivi des accords'!G2:G40,"—")</f>
        <v>9</v>
      </c>
    </row>
    <row r="12" spans="1:2" x14ac:dyDescent="0.35">
      <c r="A12" t="s">
        <v>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Suivi des accords</vt:lpstr>
      <vt:lpstr>Synthese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 ICO</cp:lastModifiedBy>
  <dcterms:created xsi:type="dcterms:W3CDTF">2026-09-21T14:21:05Z</dcterms:created>
  <dcterms:modified xsi:type="dcterms:W3CDTF">2026-09-23T05:04:55Z</dcterms:modified>
</cp:coreProperties>
</file>